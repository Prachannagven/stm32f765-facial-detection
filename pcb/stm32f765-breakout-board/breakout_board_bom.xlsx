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reakout_board_bom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<sst xmlns="http://schemas.openxmlformats.org/spreadsheetml/2006/main" count="91" uniqueCount="82">
  <si>
    <t xml:space="preserve">Robu SKU</t>
  </si>
  <si>
    <t xml:space="preserve">Reference</t>
  </si>
  <si>
    <t xml:space="preserve">Qty</t>
  </si>
  <si>
    <t xml:space="preserve">Value</t>
  </si>
  <si>
    <t xml:space="preserve">Footprint</t>
  </si>
  <si>
    <t xml:space="preserve">Bought</t>
  </si>
  <si>
    <t xml:space="preserve">Cost</t>
  </si>
  <si>
    <t xml:space="preserve">Total</t>
  </si>
  <si>
    <t xml:space="preserve">C1,C2</t>
  </si>
  <si>
    <t xml:space="preserve">10p</t>
  </si>
  <si>
    <t xml:space="preserve">Capacitor_SMD:C_0805_2012Metric_Pad1.18x1.45mm_HandSolder</t>
  </si>
  <si>
    <t xml:space="preserve">C3,C4,C5,C6,C7,C8,C13,C14,C15</t>
  </si>
  <si>
    <t xml:space="preserve">100n</t>
  </si>
  <si>
    <t xml:space="preserve">C9</t>
  </si>
  <si>
    <t xml:space="preserve">10u</t>
  </si>
  <si>
    <t xml:space="preserve">C10</t>
  </si>
  <si>
    <t xml:space="preserve">10n</t>
  </si>
  <si>
    <t xml:space="preserve">R139421</t>
  </si>
  <si>
    <t xml:space="preserve">C11,C12</t>
  </si>
  <si>
    <t xml:space="preserve">1u</t>
  </si>
  <si>
    <t xml:space="preserve">R136885</t>
  </si>
  <si>
    <t xml:space="preserve">C16,C17</t>
  </si>
  <si>
    <t xml:space="preserve">2.2u</t>
  </si>
  <si>
    <t xml:space="preserve">D1</t>
  </si>
  <si>
    <t xml:space="preserve">LED</t>
  </si>
  <si>
    <t xml:space="preserve">LED_SMD:LED_0805_2012Metric_Pad1.15x1.40mm_HandSolder</t>
  </si>
  <si>
    <t xml:space="preserve">R112445</t>
  </si>
  <si>
    <t xml:space="preserve">FB1</t>
  </si>
  <si>
    <t xml:space="preserve">FerriteBead</t>
  </si>
  <si>
    <t xml:space="preserve">Inductor_SMD:L_0805_2012Metric_Pad1.05x1.20mm_HandSolder</t>
  </si>
  <si>
    <t xml:space="preserve">R243053</t>
  </si>
  <si>
    <t xml:space="preserve">J1</t>
  </si>
  <si>
    <t xml:space="preserve">16P_USB_C</t>
  </si>
  <si>
    <t xml:space="preserve">Connector_USB:USB_C_Receptacle_G-Switch_GT-USB-7010ASV</t>
  </si>
  <si>
    <t xml:space="preserve">J3</t>
  </si>
  <si>
    <t xml:space="preserve">SWD</t>
  </si>
  <si>
    <t xml:space="preserve">Connector_PinHeader_2.54mm:PinHeader_1x04_P2.54mm_Vertical</t>
  </si>
  <si>
    <t xml:space="preserve">J4</t>
  </si>
  <si>
    <t xml:space="preserve">Conn_01x05</t>
  </si>
  <si>
    <t xml:space="preserve">Connector_PinHeader_2.54mm:PinHeader_1x05_P2.54mm_Vertical</t>
  </si>
  <si>
    <t xml:space="preserve">J5</t>
  </si>
  <si>
    <t xml:space="preserve">Conn_01x04</t>
  </si>
  <si>
    <t xml:space="preserve">J6,J7</t>
  </si>
  <si>
    <t xml:space="preserve">Conn_01x12</t>
  </si>
  <si>
    <t xml:space="preserve">Connector_PinHeader_2.54mm:PinHeader_1x12_P2.54mm_Vertical</t>
  </si>
  <si>
    <t xml:space="preserve">J8</t>
  </si>
  <si>
    <t xml:space="preserve">Conn_01x03</t>
  </si>
  <si>
    <t xml:space="preserve">Connector_PinHeader_2.54mm:PinHeader_1x03_P2.54mm_Vertical</t>
  </si>
  <si>
    <t xml:space="preserve">J9</t>
  </si>
  <si>
    <t xml:space="preserve">Conn_I2C2</t>
  </si>
  <si>
    <t xml:space="preserve">R242850</t>
  </si>
  <si>
    <t xml:space="preserve">R2</t>
  </si>
  <si>
    <t xml:space="preserve">10k</t>
  </si>
  <si>
    <t xml:space="preserve">Resistor_SMD:R_0805_2012Metric_Pad1.20x1.40mm_HandSolder</t>
  </si>
  <si>
    <t xml:space="preserve">R143534</t>
  </si>
  <si>
    <t xml:space="preserve">R3,R6,R7</t>
  </si>
  <si>
    <t xml:space="preserve">1k5</t>
  </si>
  <si>
    <t xml:space="preserve">R218648</t>
  </si>
  <si>
    <t xml:space="preserve">R4,R5</t>
  </si>
  <si>
    <t xml:space="preserve">5k1</t>
  </si>
  <si>
    <t xml:space="preserve">SW2</t>
  </si>
  <si>
    <t xml:space="preserve">SW_BOOT0</t>
  </si>
  <si>
    <t xml:space="preserve">stm32_f765_breakout_library:new_4.5x4.5_mm_tactile_button_1883759</t>
  </si>
  <si>
    <t xml:space="preserve">R151772</t>
  </si>
  <si>
    <t xml:space="preserve">U1</t>
  </si>
  <si>
    <t xml:space="preserve">STM32F765VIT6</t>
  </si>
  <si>
    <t xml:space="preserve">Package_QFP:LQFP-100_14x14mm_P0.5mm</t>
  </si>
  <si>
    <t xml:space="preserve">R194437</t>
  </si>
  <si>
    <t xml:space="preserve">U2</t>
  </si>
  <si>
    <t xml:space="preserve">AMS1117-3.3</t>
  </si>
  <si>
    <t xml:space="preserve">Package_TO_SOT_SMD:SOT-223-3_TabPin2</t>
  </si>
  <si>
    <t xml:space="preserve">R243041</t>
  </si>
  <si>
    <t xml:space="preserve">U3</t>
  </si>
  <si>
    <t xml:space="preserve">USBLC6-2SC6</t>
  </si>
  <si>
    <t xml:space="preserve">Package_TO_SOT_SMD:SOT-23-6</t>
  </si>
  <si>
    <t xml:space="preserve">R233512</t>
  </si>
  <si>
    <t xml:space="preserve">Y1</t>
  </si>
  <si>
    <t xml:space="preserve">16MHz</t>
  </si>
  <si>
    <t xml:space="preserve">Crystal:Crystal_SMD_3225-4Pin_3.2x2.5mm_HandSoldering</t>
  </si>
  <si>
    <t xml:space="preserve">Parts Total</t>
  </si>
  <si>
    <t xml:space="preserve">PCB Total</t>
  </si>
  <si>
    <t xml:space="preserve">Project Total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</si>
</sst>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4" activeCellId="0" sqref="A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31"/>
    <col collapsed="false" customWidth="true" hidden="true" outlineLevel="0" max="2" min="2" style="1" width="28.98"/>
    <col collapsed="false" customWidth="true" hidden="true" outlineLevel="0" max="3" min="3" style="1" width="4.48"/>
    <col collapsed="false" customWidth="true" hidden="false" outlineLevel="0" max="4" min="4" style="1" width="15.34"/>
    <col collapsed="false" customWidth="true" hidden="true" outlineLevel="0" max="5" min="5" style="1" width="59.17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2.8" hidden="false" customHeight="false" outlineLevel="0" collapsed="false">
      <c r="A2" s="3" t="n">
        <v>595331</v>
      </c>
      <c r="B2" s="1" t="s">
        <v>8</v>
      </c>
      <c r="C2" s="1" t="n">
        <v>2</v>
      </c>
      <c r="D2" s="1" t="s">
        <v>9</v>
      </c>
      <c r="E2" s="1" t="s">
        <v>10</v>
      </c>
      <c r="F2" s="1" t="n">
        <v>10</v>
      </c>
      <c r="G2" s="1" t="n">
        <v>1.8</v>
      </c>
      <c r="H2" s="4" t="n">
        <f aca="false">G2*F2</f>
        <v>18</v>
      </c>
      <c r="I2" s="0" t="n">
        <f aca="false">H2</f>
        <v>18</v>
      </c>
    </row>
    <row r="3" customFormat="false" ht="12.8" hidden="false" customHeight="false" outlineLevel="0" collapsed="false">
      <c r="A3" s="3" t="n">
        <v>595344</v>
      </c>
      <c r="B3" s="1" t="s">
        <v>11</v>
      </c>
      <c r="C3" s="1" t="n">
        <v>9</v>
      </c>
      <c r="D3" s="1" t="s">
        <v>12</v>
      </c>
      <c r="E3" s="1" t="s">
        <v>10</v>
      </c>
      <c r="F3" s="1" t="n">
        <v>50</v>
      </c>
      <c r="G3" s="1" t="n">
        <v>0.7</v>
      </c>
      <c r="H3" s="4" t="n">
        <f aca="false">G3*F3</f>
        <v>35</v>
      </c>
      <c r="I3" s="0" t="n">
        <f aca="false">H3+I2</f>
        <v>53</v>
      </c>
    </row>
    <row r="4" customFormat="false" ht="12.8" hidden="false" customHeight="false" outlineLevel="0" collapsed="false">
      <c r="A4" s="3" t="n">
        <v>1544904</v>
      </c>
      <c r="B4" s="1" t="s">
        <v>13</v>
      </c>
      <c r="C4" s="1" t="n">
        <v>1</v>
      </c>
      <c r="D4" s="1" t="s">
        <v>14</v>
      </c>
      <c r="E4" s="1" t="s">
        <v>10</v>
      </c>
      <c r="F4" s="1" t="n">
        <v>10</v>
      </c>
      <c r="G4" s="1" t="n">
        <v>13</v>
      </c>
      <c r="H4" s="4" t="n">
        <f aca="false">G4*F4</f>
        <v>130</v>
      </c>
      <c r="I4" s="0" t="n">
        <f aca="false">H4+I3</f>
        <v>183</v>
      </c>
    </row>
    <row r="5" customFormat="false" ht="12.8" hidden="false" customHeight="false" outlineLevel="0" collapsed="false">
      <c r="A5" s="3" t="n">
        <v>595338</v>
      </c>
      <c r="B5" s="1" t="s">
        <v>15</v>
      </c>
      <c r="C5" s="1" t="n">
        <v>1</v>
      </c>
      <c r="D5" s="1" t="s">
        <v>16</v>
      </c>
      <c r="E5" s="1" t="s">
        <v>10</v>
      </c>
      <c r="F5" s="1" t="n">
        <v>10</v>
      </c>
      <c r="G5" s="1" t="n">
        <v>5</v>
      </c>
      <c r="H5" s="4" t="n">
        <f aca="false">G5*F5</f>
        <v>50</v>
      </c>
      <c r="I5" s="0" t="n">
        <f aca="false">H5+I4</f>
        <v>233</v>
      </c>
    </row>
    <row r="6" customFormat="false" ht="12.8" hidden="false" customHeight="false" outlineLevel="0" collapsed="false">
      <c r="A6" s="3" t="s">
        <v>17</v>
      </c>
      <c r="B6" s="1" t="s">
        <v>18</v>
      </c>
      <c r="C6" s="1" t="n">
        <v>2</v>
      </c>
      <c r="D6" s="1" t="s">
        <v>19</v>
      </c>
      <c r="E6" s="1" t="s">
        <v>10</v>
      </c>
      <c r="F6" s="1" t="n">
        <v>20</v>
      </c>
      <c r="G6" s="1" t="n">
        <v>1.34</v>
      </c>
      <c r="H6" s="4" t="n">
        <f aca="false">G6*F6</f>
        <v>26.8</v>
      </c>
      <c r="I6" s="0" t="n">
        <f aca="false">H6+I5</f>
        <v>259.8</v>
      </c>
    </row>
    <row r="7" customFormat="false" ht="12.8" hidden="false" customHeight="false" outlineLevel="0" collapsed="false">
      <c r="A7" s="3" t="s">
        <v>20</v>
      </c>
      <c r="B7" s="1" t="s">
        <v>21</v>
      </c>
      <c r="C7" s="1" t="n">
        <v>2</v>
      </c>
      <c r="D7" s="1" t="s">
        <v>22</v>
      </c>
      <c r="E7" s="1" t="s">
        <v>10</v>
      </c>
      <c r="F7" s="1" t="n">
        <v>20</v>
      </c>
      <c r="G7" s="1" t="n">
        <v>1.86</v>
      </c>
      <c r="H7" s="4" t="n">
        <f aca="false">G7*F7</f>
        <v>37.2</v>
      </c>
      <c r="I7" s="0" t="n">
        <f aca="false">H7+I6</f>
        <v>297</v>
      </c>
    </row>
    <row r="8" customFormat="false" ht="12.8" hidden="false" customHeight="false" outlineLevel="0" collapsed="false">
      <c r="A8" s="3" t="n">
        <v>827887</v>
      </c>
      <c r="B8" s="1" t="s">
        <v>23</v>
      </c>
      <c r="C8" s="1" t="n">
        <v>1</v>
      </c>
      <c r="D8" s="1" t="s">
        <v>24</v>
      </c>
      <c r="E8" s="1" t="s">
        <v>25</v>
      </c>
      <c r="F8" s="1" t="n">
        <v>20</v>
      </c>
      <c r="G8" s="1" t="n">
        <v>0.79</v>
      </c>
      <c r="H8" s="4" t="n">
        <f aca="false">G8*F8</f>
        <v>15.8</v>
      </c>
      <c r="I8" s="0" t="n">
        <f aca="false">H8+I7</f>
        <v>312.8</v>
      </c>
    </row>
    <row r="9" customFormat="false" ht="12.8" hidden="false" customHeight="false" outlineLevel="0" collapsed="false">
      <c r="A9" s="3" t="s">
        <v>26</v>
      </c>
      <c r="B9" s="1" t="s">
        <v>27</v>
      </c>
      <c r="C9" s="1" t="n">
        <v>1</v>
      </c>
      <c r="D9" s="1" t="s">
        <v>28</v>
      </c>
      <c r="E9" s="1" t="s">
        <v>29</v>
      </c>
      <c r="F9" s="1" t="n">
        <v>10</v>
      </c>
      <c r="G9" s="1" t="n">
        <v>3</v>
      </c>
      <c r="H9" s="4" t="n">
        <f aca="false">G9*F9</f>
        <v>30</v>
      </c>
      <c r="I9" s="0" t="n">
        <f aca="false">H9+I8</f>
        <v>342.8</v>
      </c>
    </row>
    <row r="10" customFormat="false" ht="12.8" hidden="false" customHeight="false" outlineLevel="0" collapsed="false">
      <c r="A10" s="3" t="s">
        <v>30</v>
      </c>
      <c r="B10" s="1" t="s">
        <v>31</v>
      </c>
      <c r="C10" s="1" t="n">
        <v>1</v>
      </c>
      <c r="D10" s="1" t="s">
        <v>32</v>
      </c>
      <c r="E10" s="1" t="s">
        <v>33</v>
      </c>
      <c r="F10" s="1" t="n">
        <v>10</v>
      </c>
      <c r="G10" s="1" t="n">
        <v>29</v>
      </c>
      <c r="H10" s="4" t="n">
        <f aca="false">G10*F10</f>
        <v>290</v>
      </c>
      <c r="I10" s="0" t="n">
        <f aca="false">H10+I9</f>
        <v>632.8</v>
      </c>
    </row>
    <row r="11" customFormat="false" ht="12.8" hidden="false" customHeight="false" outlineLevel="0" collapsed="false">
      <c r="A11" s="3" t="n">
        <v>1114172</v>
      </c>
      <c r="B11" s="1" t="s">
        <v>34</v>
      </c>
      <c r="C11" s="1" t="n">
        <v>1</v>
      </c>
      <c r="D11" s="1" t="s">
        <v>35</v>
      </c>
      <c r="E11" s="1" t="s">
        <v>36</v>
      </c>
      <c r="F11" s="1" t="n">
        <v>5</v>
      </c>
      <c r="G11" s="1" t="n">
        <v>5</v>
      </c>
      <c r="H11" s="4" t="n">
        <f aca="false">G11*F11</f>
        <v>25</v>
      </c>
      <c r="I11" s="0" t="n">
        <f aca="false">H11+I10</f>
        <v>657.8</v>
      </c>
    </row>
    <row r="12" customFormat="false" ht="12.8" hidden="false" customHeight="false" outlineLevel="0" collapsed="false">
      <c r="A12" s="3" t="n">
        <v>1114172</v>
      </c>
      <c r="B12" s="1" t="s">
        <v>37</v>
      </c>
      <c r="C12" s="1" t="n">
        <v>1</v>
      </c>
      <c r="D12" s="1" t="s">
        <v>38</v>
      </c>
      <c r="E12" s="1" t="s">
        <v>39</v>
      </c>
      <c r="F12" s="1" t="n">
        <v>0</v>
      </c>
      <c r="G12" s="1" t="n">
        <v>5</v>
      </c>
      <c r="H12" s="4" t="n">
        <f aca="false">G12*F12</f>
        <v>0</v>
      </c>
      <c r="I12" s="0" t="n">
        <f aca="false">H12+I11</f>
        <v>657.8</v>
      </c>
    </row>
    <row r="13" customFormat="false" ht="12.8" hidden="false" customHeight="false" outlineLevel="0" collapsed="false">
      <c r="A13" s="3" t="n">
        <v>1114172</v>
      </c>
      <c r="B13" s="1" t="s">
        <v>40</v>
      </c>
      <c r="C13" s="1" t="n">
        <v>1</v>
      </c>
      <c r="D13" s="1" t="s">
        <v>41</v>
      </c>
      <c r="E13" s="1" t="s">
        <v>36</v>
      </c>
      <c r="F13" s="1" t="n">
        <v>0</v>
      </c>
      <c r="G13" s="1" t="n">
        <v>5</v>
      </c>
      <c r="H13" s="4" t="n">
        <f aca="false">G13*F13</f>
        <v>0</v>
      </c>
      <c r="I13" s="0" t="n">
        <f aca="false">H13+I12</f>
        <v>657.8</v>
      </c>
    </row>
    <row r="14" customFormat="false" ht="12.8" hidden="false" customHeight="false" outlineLevel="0" collapsed="false">
      <c r="A14" s="3" t="n">
        <v>1114172</v>
      </c>
      <c r="B14" s="1" t="s">
        <v>42</v>
      </c>
      <c r="C14" s="1" t="n">
        <v>2</v>
      </c>
      <c r="D14" s="1" t="s">
        <v>43</v>
      </c>
      <c r="E14" s="1" t="s">
        <v>44</v>
      </c>
      <c r="F14" s="1" t="n">
        <v>0</v>
      </c>
      <c r="G14" s="1" t="n">
        <v>5</v>
      </c>
      <c r="H14" s="4" t="n">
        <f aca="false">G14*F14</f>
        <v>0</v>
      </c>
      <c r="I14" s="0" t="n">
        <f aca="false">H14+I13</f>
        <v>657.8</v>
      </c>
    </row>
    <row r="15" customFormat="false" ht="12.8" hidden="false" customHeight="false" outlineLevel="0" collapsed="false">
      <c r="A15" s="3" t="n">
        <v>1114172</v>
      </c>
      <c r="B15" s="1" t="s">
        <v>45</v>
      </c>
      <c r="C15" s="1" t="n">
        <v>1</v>
      </c>
      <c r="D15" s="1" t="s">
        <v>46</v>
      </c>
      <c r="E15" s="1" t="s">
        <v>47</v>
      </c>
      <c r="F15" s="1" t="n">
        <v>0</v>
      </c>
      <c r="G15" s="1" t="n">
        <v>5</v>
      </c>
      <c r="H15" s="4" t="n">
        <f aca="false">G15*F15</f>
        <v>0</v>
      </c>
      <c r="I15" s="0" t="n">
        <f aca="false">H15+I14</f>
        <v>657.8</v>
      </c>
    </row>
    <row r="16" customFormat="false" ht="12.8" hidden="false" customHeight="false" outlineLevel="0" collapsed="false">
      <c r="A16" s="3" t="n">
        <v>1114172</v>
      </c>
      <c r="B16" s="1" t="s">
        <v>48</v>
      </c>
      <c r="C16" s="1" t="n">
        <v>1</v>
      </c>
      <c r="D16" s="1" t="s">
        <v>49</v>
      </c>
      <c r="E16" s="1" t="s">
        <v>36</v>
      </c>
      <c r="F16" s="1" t="n">
        <v>0</v>
      </c>
      <c r="G16" s="1" t="n">
        <v>5</v>
      </c>
      <c r="H16" s="4" t="n">
        <f aca="false">G16*F16</f>
        <v>0</v>
      </c>
      <c r="I16" s="0" t="n">
        <f aca="false">H16+I15</f>
        <v>657.8</v>
      </c>
    </row>
    <row r="17" customFormat="false" ht="12.8" hidden="false" customHeight="false" outlineLevel="0" collapsed="false">
      <c r="A17" s="3" t="s">
        <v>50</v>
      </c>
      <c r="B17" s="1" t="s">
        <v>51</v>
      </c>
      <c r="C17" s="1" t="n">
        <v>1</v>
      </c>
      <c r="D17" s="1" t="s">
        <v>52</v>
      </c>
      <c r="E17" s="1" t="s">
        <v>53</v>
      </c>
      <c r="F17" s="1" t="n">
        <v>100</v>
      </c>
      <c r="G17" s="1" t="n">
        <v>0.16</v>
      </c>
      <c r="H17" s="4" t="n">
        <f aca="false">G17*F17</f>
        <v>16</v>
      </c>
      <c r="I17" s="0" t="n">
        <f aca="false">H17+I16</f>
        <v>673.8</v>
      </c>
    </row>
    <row r="18" customFormat="false" ht="12.8" hidden="false" customHeight="false" outlineLevel="0" collapsed="false">
      <c r="A18" s="3" t="s">
        <v>54</v>
      </c>
      <c r="B18" s="1" t="s">
        <v>55</v>
      </c>
      <c r="C18" s="1" t="n">
        <v>3</v>
      </c>
      <c r="D18" s="1" t="s">
        <v>56</v>
      </c>
      <c r="E18" s="1" t="s">
        <v>53</v>
      </c>
      <c r="F18" s="1" t="n">
        <v>100</v>
      </c>
      <c r="G18" s="1" t="n">
        <v>0.28</v>
      </c>
      <c r="H18" s="4" t="n">
        <f aca="false">G18*F18</f>
        <v>28</v>
      </c>
      <c r="I18" s="0" t="n">
        <f aca="false">H18+I17</f>
        <v>701.8</v>
      </c>
    </row>
    <row r="19" customFormat="false" ht="12.8" hidden="false" customHeight="false" outlineLevel="0" collapsed="false">
      <c r="A19" s="3" t="s">
        <v>57</v>
      </c>
      <c r="B19" s="1" t="s">
        <v>58</v>
      </c>
      <c r="C19" s="1" t="n">
        <v>2</v>
      </c>
      <c r="D19" s="1" t="s">
        <v>59</v>
      </c>
      <c r="E19" s="1" t="s">
        <v>53</v>
      </c>
      <c r="F19" s="1" t="n">
        <v>50</v>
      </c>
      <c r="G19" s="1" t="n">
        <v>0.68</v>
      </c>
      <c r="H19" s="4" t="n">
        <f aca="false">G19*F19</f>
        <v>34</v>
      </c>
      <c r="I19" s="0" t="n">
        <f aca="false">H19+I18</f>
        <v>735.8</v>
      </c>
    </row>
    <row r="20" customFormat="false" ht="12.8" hidden="false" customHeight="false" outlineLevel="0" collapsed="false">
      <c r="A20" s="3" t="n">
        <v>1883759</v>
      </c>
      <c r="B20" s="1" t="s">
        <v>60</v>
      </c>
      <c r="C20" s="1" t="n">
        <v>1</v>
      </c>
      <c r="D20" s="1" t="s">
        <v>61</v>
      </c>
      <c r="E20" s="1" t="s">
        <v>62</v>
      </c>
      <c r="F20" s="5" t="n">
        <v>10</v>
      </c>
      <c r="G20" s="1" t="n">
        <v>1.55</v>
      </c>
      <c r="H20" s="4" t="n">
        <f aca="false">G20*F20</f>
        <v>15.5</v>
      </c>
      <c r="I20" s="0" t="n">
        <f aca="false">H20+I19</f>
        <v>751.3</v>
      </c>
    </row>
    <row r="21" customFormat="false" ht="12.8" hidden="false" customHeight="false" outlineLevel="0" collapsed="false">
      <c r="A21" s="3" t="s">
        <v>63</v>
      </c>
      <c r="B21" s="1" t="s">
        <v>64</v>
      </c>
      <c r="C21" s="1" t="n">
        <v>1</v>
      </c>
      <c r="D21" s="1" t="s">
        <v>65</v>
      </c>
      <c r="E21" s="1" t="s">
        <v>66</v>
      </c>
      <c r="F21" s="1" t="n">
        <v>2</v>
      </c>
      <c r="G21" s="1" t="n">
        <v>794</v>
      </c>
      <c r="H21" s="4" t="n">
        <f aca="false">G21*F21</f>
        <v>1588</v>
      </c>
      <c r="I21" s="0" t="n">
        <f aca="false">H21+I20</f>
        <v>2339.3</v>
      </c>
    </row>
    <row r="22" customFormat="false" ht="12.8" hidden="false" customHeight="false" outlineLevel="0" collapsed="false">
      <c r="A22" s="3" t="s">
        <v>67</v>
      </c>
      <c r="B22" s="1" t="s">
        <v>68</v>
      </c>
      <c r="C22" s="1" t="n">
        <v>1</v>
      </c>
      <c r="D22" s="1" t="s">
        <v>69</v>
      </c>
      <c r="E22" s="1" t="s">
        <v>70</v>
      </c>
      <c r="F22" s="1" t="n">
        <v>10</v>
      </c>
      <c r="G22" s="1" t="n">
        <v>7</v>
      </c>
      <c r="H22" s="4" t="n">
        <f aca="false">G22*F22</f>
        <v>70</v>
      </c>
      <c r="I22" s="0" t="n">
        <f aca="false">H22+I21</f>
        <v>2409.3</v>
      </c>
    </row>
    <row r="23" customFormat="false" ht="12.8" hidden="false" customHeight="false" outlineLevel="0" collapsed="false">
      <c r="A23" s="3" t="s">
        <v>71</v>
      </c>
      <c r="B23" s="1" t="s">
        <v>72</v>
      </c>
      <c r="C23" s="1" t="n">
        <v>1</v>
      </c>
      <c r="D23" s="1" t="s">
        <v>73</v>
      </c>
      <c r="E23" s="1" t="s">
        <v>74</v>
      </c>
      <c r="F23" s="1" t="n">
        <v>10</v>
      </c>
      <c r="G23" s="1" t="n">
        <v>6</v>
      </c>
      <c r="H23" s="4" t="n">
        <f aca="false">G23*F23</f>
        <v>60</v>
      </c>
      <c r="I23" s="0" t="n">
        <f aca="false">H23+I22</f>
        <v>2469.3</v>
      </c>
    </row>
    <row r="24" customFormat="false" ht="12.8" hidden="false" customHeight="false" outlineLevel="0" collapsed="false">
      <c r="A24" s="3" t="s">
        <v>75</v>
      </c>
      <c r="B24" s="1" t="s">
        <v>76</v>
      </c>
      <c r="C24" s="1" t="n">
        <v>1</v>
      </c>
      <c r="D24" s="1" t="s">
        <v>77</v>
      </c>
      <c r="E24" s="1" t="s">
        <v>78</v>
      </c>
      <c r="F24" s="1" t="n">
        <v>10</v>
      </c>
      <c r="G24" s="1" t="n">
        <v>10</v>
      </c>
      <c r="H24" s="4" t="n">
        <f aca="false">G24*F24</f>
        <v>100</v>
      </c>
      <c r="I24" s="0" t="n">
        <f aca="false">H24+I23</f>
        <v>2569.3</v>
      </c>
    </row>
    <row r="25" customFormat="false" ht="12.8" hidden="false" customHeight="false" outlineLevel="0" collapsed="false">
      <c r="G25" s="2" t="s">
        <v>79</v>
      </c>
      <c r="H25" s="2" t="n">
        <f aca="false">SUM(H2:H24)</f>
        <v>2569.3</v>
      </c>
    </row>
    <row r="26" customFormat="false" ht="12.8" hidden="false" customHeight="false" outlineLevel="0" collapsed="false">
      <c r="G26" s="2" t="s">
        <v>80</v>
      </c>
      <c r="H26" s="2" t="n">
        <v>981</v>
      </c>
    </row>
    <row r="27" customFormat="false" ht="12.8" hidden="false" customHeight="false" outlineLevel="0" collapsed="false">
      <c r="G27" s="2" t="s">
        <v>81</v>
      </c>
      <c r="H27" s="2" t="n">
        <f aca="false">SUM(H25:H26)</f>
        <v>3550.3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2026-04-06T13:13:26Z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