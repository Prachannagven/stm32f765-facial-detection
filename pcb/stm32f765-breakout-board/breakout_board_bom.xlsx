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Compatibility="0"/>
  <workbookProtection/>
  <bookViews>
    <workbookView xWindow="360" yWindow="15" windowWidth="20955" windowHeight="9720" activeTab="0" showHorizontalScroll="1" showVerticalScroll="1"/>
  </bookViews>
  <sheets>
    <sheet name="breakout_board_bom" sheetId="1" state="visible" r:id="rId1"/>
  </sheets>
  <calcPr refMode="A1" iterate="0" iterateCount="100" iterateDelta="0.00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<sst xmlns="http://schemas.openxmlformats.org/spreadsheetml/2006/main" count="82" uniqueCount="82">
  <si>
    <t xml:space="preserve">Robu SKU</t>
  </si>
  <si>
    <t>Reference</t>
  </si>
  <si>
    <t>Qty</t>
  </si>
  <si>
    <t>Value</t>
  </si>
  <si>
    <t>Footprint</t>
  </si>
  <si>
    <t>Bought</t>
  </si>
  <si>
    <t>Cost</t>
  </si>
  <si>
    <t>Total</t>
  </si>
  <si>
    <t>C1,C2</t>
  </si>
  <si>
    <t>10p</t>
  </si>
  <si>
    <t>Capacitor_SMD:C_0805_2012Metric_Pad1.18x1.45mm_HandSolder</t>
  </si>
  <si>
    <t>C3,C4,C5,C6,C7,C8,C13</t>
  </si>
  <si>
    <t>100n</t>
  </si>
  <si>
    <t xml:space="preserve">C9, C14, C15</t>
  </si>
  <si>
    <t>10u</t>
  </si>
  <si>
    <t>C10</t>
  </si>
  <si>
    <t>10n</t>
  </si>
  <si>
    <t>R139421</t>
  </si>
  <si>
    <t>C11,C12</t>
  </si>
  <si>
    <t>1u</t>
  </si>
  <si>
    <t>R136885</t>
  </si>
  <si>
    <t>C16,C17</t>
  </si>
  <si>
    <t>2.2u</t>
  </si>
  <si>
    <t>D1</t>
  </si>
  <si>
    <t>LED</t>
  </si>
  <si>
    <t>LED_SMD:LED_0805_2012Metric_Pad1.15x1.40mm_HandSolder</t>
  </si>
  <si>
    <t>R112445</t>
  </si>
  <si>
    <t>FB1</t>
  </si>
  <si>
    <t>FerriteBead</t>
  </si>
  <si>
    <t>Inductor_SMD:L_0805_2012Metric_Pad1.05x1.20mm_HandSolder</t>
  </si>
  <si>
    <t>R243053</t>
  </si>
  <si>
    <t>J1</t>
  </si>
  <si>
    <t>16P_USB_C</t>
  </si>
  <si>
    <t>Connector_USB:USB_C_Receptacle_G-Switch_GT-USB-7010ASV</t>
  </si>
  <si>
    <t>J3</t>
  </si>
  <si>
    <t>SWD</t>
  </si>
  <si>
    <t>Connector_PinHeader_2.54mm:PinHeader_1x04_P2.54mm_Vertical</t>
  </si>
  <si>
    <t>J4</t>
  </si>
  <si>
    <t>Conn_01x05</t>
  </si>
  <si>
    <t>Connector_PinHeader_2.54mm:PinHeader_1x05_P2.54mm_Vertical</t>
  </si>
  <si>
    <t>J5</t>
  </si>
  <si>
    <t>Conn_01x04</t>
  </si>
  <si>
    <t>J6,J7</t>
  </si>
  <si>
    <t>Conn_01x12</t>
  </si>
  <si>
    <t>Connector_PinHeader_2.54mm:PinHeader_1x12_P2.54mm_Vertical</t>
  </si>
  <si>
    <t>J8</t>
  </si>
  <si>
    <t>Conn_01x03</t>
  </si>
  <si>
    <t>Connector_PinHeader_2.54mm:PinHeader_1x03_P2.54mm_Vertical</t>
  </si>
  <si>
    <t>J9</t>
  </si>
  <si>
    <t>Conn_I2C2</t>
  </si>
  <si>
    <t>R242850</t>
  </si>
  <si>
    <t>R2</t>
  </si>
  <si>
    <t>10k</t>
  </si>
  <si>
    <t>Resistor_SMD:R_0805_2012Metric_Pad1.20x1.40mm_HandSolder</t>
  </si>
  <si>
    <t>R143534</t>
  </si>
  <si>
    <t>R3,R6,R7</t>
  </si>
  <si>
    <t>1k5</t>
  </si>
  <si>
    <t>R218648</t>
  </si>
  <si>
    <t>R4,R5</t>
  </si>
  <si>
    <t>5k1</t>
  </si>
  <si>
    <t>SW2</t>
  </si>
  <si>
    <t>SW_BOOT0</t>
  </si>
  <si>
    <t>stm32_f765_breakout_library:new_4.5x4.5_mm_tactile_button_1883759</t>
  </si>
  <si>
    <t>R151772</t>
  </si>
  <si>
    <t>U1</t>
  </si>
  <si>
    <t>STM32F765VIT6</t>
  </si>
  <si>
    <t>Package_QFP:LQFP-100_14x14mm_P0.5mm</t>
  </si>
  <si>
    <t>R194437</t>
  </si>
  <si>
    <t>U2</t>
  </si>
  <si>
    <t>AMS1117-3.3</t>
  </si>
  <si>
    <t>Package_TO_SOT_SMD:SOT-223-3_TabPin2</t>
  </si>
  <si>
    <t>R243041</t>
  </si>
  <si>
    <t>U3</t>
  </si>
  <si>
    <t>USBLC6-2SC6</t>
  </si>
  <si>
    <t>Package_TO_SOT_SMD:SOT-23-6</t>
  </si>
  <si>
    <t>R233512</t>
  </si>
  <si>
    <t>Y1</t>
  </si>
  <si>
    <t>16MHz</t>
  </si>
  <si>
    <t>Crystal:Crystal_SMD_3225-4Pin_3.2x2.5mm_HandSoldering</t>
  </si>
  <si>
    <t xml:space="preserve">Parts Total</t>
  </si>
  <si>
    <t xml:space="preserve">PCB Total</t>
  </si>
  <si>
    <t xml:space="preserve">Project Total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</si>
</sst>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0.000000"/>
      <name val="Arial"/>
    </font>
    <font>
      <b/>
      <sz val="10.000000"/>
      <name val="Arial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6">
    <xf fontId="0" fillId="0" borderId="0" numFmtId="0" applyNumberFormat="1" applyFont="1" applyFill="1" applyBorder="1" applyProtection="1">
      <protection hidden="0" locked="1"/>
    </xf>
    <xf fontId="0" fillId="0" borderId="0" numFmtId="43" applyNumberFormat="1" applyFont="1" applyFill="1" applyBorder="0" applyProtection="0"/>
    <xf fontId="0" fillId="0" borderId="0" numFmtId="41" applyNumberFormat="1" applyFont="1" applyFill="1" applyBorder="0" applyProtection="0"/>
    <xf fontId="0" fillId="0" borderId="0" numFmtId="44" applyNumberFormat="1" applyFont="1" applyFill="1" applyBorder="0" applyProtection="0"/>
    <xf fontId="0" fillId="0" borderId="0" numFmtId="42" applyNumberFormat="1" applyFont="1" applyFill="1" applyBorder="0" applyProtection="0"/>
    <xf fontId="0" fillId="0" borderId="0" numFmtId="9" applyNumberFormat="1" applyFont="1" applyFill="1" applyBorder="0" applyProtection="0"/>
  </cellStyleXfs>
  <cellXfs count="6">
    <xf fontId="0" fillId="0" borderId="0" numFmtId="0" xfId="0" applyProtection="0">
      <protection hidden="0" locked="1"/>
    </xf>
    <xf fontId="0" fillId="0" borderId="0" numFmtId="0" xfId="0" applyProtection="1">
      <protection hidden="0" locked="1"/>
    </xf>
    <xf fontId="1" fillId="0" borderId="0" numFmtId="0" xfId="0" applyFont="1" applyProtection="1">
      <protection hidden="0" locked="1"/>
    </xf>
    <xf fontId="1" fillId="0" borderId="0" numFmtId="0" xfId="0" applyFont="1" applyAlignment="1" applyProtection="1">
      <alignment horizontal="left"/>
      <protection hidden="0" locked="1"/>
    </xf>
    <xf fontId="0" fillId="0" borderId="0" numFmtId="0" xfId="0" applyProtection="1">
      <protection hidden="0" locked="1"/>
    </xf>
    <xf fontId="0" fillId="0" borderId="0" numFmtId="0" xfId="0" applyAlignment="1" applyProtection="1">
      <alignment horizontal="right"/>
      <protection hidden="0" locked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 name="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zoomScale="100" workbookViewId="0">
      <selection activeCell="A9" activeCellId="0" sqref="A9"/>
    </sheetView>
  </sheetViews>
  <sheetFormatPr defaultColWidth="11.53515625" defaultRowHeight="12.75"/>
  <cols>
    <col customWidth="1" min="1" max="1" style="1" width="16.309999999999999"/>
    <col customWidth="1" min="2" max="2" style="1" width="45.770000000000003"/>
    <col customWidth="1" min="3" max="3" style="1" width="4.4199999999999999"/>
    <col customWidth="1" min="4" max="4" style="1" width="15.34"/>
    <col customWidth="1" hidden="1" min="5" max="5" style="1" width="59.170000000000002"/>
  </cols>
  <sheetData>
    <row r="1" ht="12.80000000000000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ht="12.800000000000001">
      <c r="A2" s="3">
        <v>595331</v>
      </c>
      <c r="B2" s="1" t="s">
        <v>8</v>
      </c>
      <c r="C2" s="1">
        <v>2</v>
      </c>
      <c r="D2" s="1" t="s">
        <v>9</v>
      </c>
      <c r="E2" s="1" t="s">
        <v>10</v>
      </c>
      <c r="F2" s="1">
        <v>10</v>
      </c>
      <c r="G2" s="1">
        <v>1.8</v>
      </c>
      <c r="H2" s="1">
        <f t="shared" ref="H2:H9" si="0">G2*F2</f>
        <v>18</v>
      </c>
      <c r="I2" s="1">
        <f>H2</f>
        <v>18</v>
      </c>
    </row>
    <row r="3" ht="12.800000000000001">
      <c r="A3" s="3">
        <v>595344</v>
      </c>
      <c r="B3" s="4" t="s">
        <v>11</v>
      </c>
      <c r="C3" s="1">
        <v>9</v>
      </c>
      <c r="D3" s="1" t="s">
        <v>12</v>
      </c>
      <c r="E3" s="1" t="s">
        <v>10</v>
      </c>
      <c r="F3" s="1">
        <v>50</v>
      </c>
      <c r="G3" s="1">
        <v>0.69999999999999996</v>
      </c>
      <c r="H3" s="1">
        <f t="shared" si="0"/>
        <v>35</v>
      </c>
      <c r="I3" s="1">
        <f t="shared" ref="I3:I9" si="1">H3+I2</f>
        <v>53</v>
      </c>
    </row>
    <row r="4" ht="12.800000000000001">
      <c r="A4" s="3">
        <v>1544904</v>
      </c>
      <c r="B4" s="4" t="s">
        <v>13</v>
      </c>
      <c r="C4" s="1">
        <v>1</v>
      </c>
      <c r="D4" s="1" t="s">
        <v>14</v>
      </c>
      <c r="E4" s="1" t="s">
        <v>10</v>
      </c>
      <c r="F4" s="1">
        <v>10</v>
      </c>
      <c r="G4" s="1">
        <v>13</v>
      </c>
      <c r="H4" s="1">
        <f t="shared" si="0"/>
        <v>130</v>
      </c>
      <c r="I4" s="1">
        <f t="shared" si="1"/>
        <v>183</v>
      </c>
    </row>
    <row r="5" ht="12.800000000000001">
      <c r="A5" s="3">
        <v>595338</v>
      </c>
      <c r="B5" s="1" t="s">
        <v>15</v>
      </c>
      <c r="C5" s="1">
        <v>1</v>
      </c>
      <c r="D5" s="1" t="s">
        <v>16</v>
      </c>
      <c r="E5" s="1" t="s">
        <v>10</v>
      </c>
      <c r="F5" s="1">
        <v>10</v>
      </c>
      <c r="G5" s="1">
        <v>5</v>
      </c>
      <c r="H5" s="1">
        <f t="shared" si="0"/>
        <v>50</v>
      </c>
      <c r="I5" s="1">
        <f t="shared" si="1"/>
        <v>233</v>
      </c>
    </row>
    <row r="6" ht="12.800000000000001">
      <c r="A6" s="3" t="s">
        <v>17</v>
      </c>
      <c r="B6" s="1" t="s">
        <v>18</v>
      </c>
      <c r="C6" s="1">
        <v>2</v>
      </c>
      <c r="D6" s="1" t="s">
        <v>19</v>
      </c>
      <c r="E6" s="1" t="s">
        <v>10</v>
      </c>
      <c r="F6" s="1">
        <v>20</v>
      </c>
      <c r="G6" s="1">
        <v>1.3400000000000001</v>
      </c>
      <c r="H6" s="1">
        <f t="shared" si="0"/>
        <v>26.800000000000001</v>
      </c>
      <c r="I6" s="1">
        <f t="shared" si="1"/>
        <v>259.80000000000001</v>
      </c>
    </row>
    <row r="7" ht="12.800000000000001">
      <c r="A7" s="3" t="s">
        <v>20</v>
      </c>
      <c r="B7" s="1" t="s">
        <v>21</v>
      </c>
      <c r="C7" s="1">
        <v>2</v>
      </c>
      <c r="D7" s="1" t="s">
        <v>22</v>
      </c>
      <c r="E7" s="1" t="s">
        <v>10</v>
      </c>
      <c r="F7" s="1">
        <v>20</v>
      </c>
      <c r="G7" s="1">
        <v>1.8600000000000001</v>
      </c>
      <c r="H7" s="1">
        <f t="shared" si="0"/>
        <v>37.200000000000003</v>
      </c>
      <c r="I7" s="1">
        <f t="shared" si="1"/>
        <v>297</v>
      </c>
    </row>
    <row r="8" ht="12.800000000000001">
      <c r="A8" s="3">
        <v>827887</v>
      </c>
      <c r="B8" s="1" t="s">
        <v>23</v>
      </c>
      <c r="C8" s="1">
        <v>1</v>
      </c>
      <c r="D8" s="1" t="s">
        <v>24</v>
      </c>
      <c r="E8" s="1" t="s">
        <v>25</v>
      </c>
      <c r="F8" s="1">
        <v>20</v>
      </c>
      <c r="G8" s="1">
        <v>0.79000000000000004</v>
      </c>
      <c r="H8" s="1">
        <f t="shared" si="0"/>
        <v>15.800000000000001</v>
      </c>
      <c r="I8" s="1">
        <f t="shared" si="1"/>
        <v>312.80000000000001</v>
      </c>
    </row>
    <row r="9" ht="12.800000000000001">
      <c r="A9" s="3" t="s">
        <v>26</v>
      </c>
      <c r="B9" s="1" t="s">
        <v>27</v>
      </c>
      <c r="C9" s="1">
        <v>1</v>
      </c>
      <c r="D9" s="1" t="s">
        <v>28</v>
      </c>
      <c r="E9" s="1" t="s">
        <v>29</v>
      </c>
      <c r="F9" s="1">
        <v>10</v>
      </c>
      <c r="G9" s="1">
        <v>3</v>
      </c>
      <c r="H9" s="1">
        <f t="shared" si="0"/>
        <v>30</v>
      </c>
      <c r="I9" s="1">
        <f t="shared" si="1"/>
        <v>342.80000000000001</v>
      </c>
    </row>
    <row r="10" ht="12.800000000000001">
      <c r="A10" s="3" t="s">
        <v>30</v>
      </c>
      <c r="B10" s="1" t="s">
        <v>31</v>
      </c>
      <c r="C10" s="1">
        <v>1</v>
      </c>
      <c r="D10" s="1" t="s">
        <v>32</v>
      </c>
      <c r="E10" s="1" t="s">
        <v>33</v>
      </c>
      <c r="F10" s="1">
        <v>10</v>
      </c>
      <c r="G10" s="1">
        <v>29</v>
      </c>
      <c r="H10" s="1">
        <f t="shared" ref="H10:H24" si="2">G10*F10</f>
        <v>290</v>
      </c>
      <c r="I10" s="1">
        <f>H10+I9</f>
        <v>632.79999999999995</v>
      </c>
    </row>
    <row r="11" ht="12.800000000000001">
      <c r="A11" s="3">
        <v>1114172</v>
      </c>
      <c r="B11" s="1" t="s">
        <v>34</v>
      </c>
      <c r="C11" s="1">
        <v>1</v>
      </c>
      <c r="D11" s="1" t="s">
        <v>35</v>
      </c>
      <c r="E11" s="1" t="s">
        <v>36</v>
      </c>
      <c r="F11" s="1">
        <v>5</v>
      </c>
      <c r="G11" s="1">
        <v>5</v>
      </c>
      <c r="H11" s="1">
        <f t="shared" si="2"/>
        <v>25</v>
      </c>
      <c r="I11" s="1">
        <f t="shared" ref="I11:I24" si="3">H11+I10</f>
        <v>657.79999999999995</v>
      </c>
    </row>
    <row r="12" ht="12.800000000000001">
      <c r="A12" s="3">
        <v>1114172</v>
      </c>
      <c r="B12" s="1" t="s">
        <v>37</v>
      </c>
      <c r="C12" s="1">
        <v>1</v>
      </c>
      <c r="D12" s="1" t="s">
        <v>38</v>
      </c>
      <c r="E12" s="1" t="s">
        <v>39</v>
      </c>
      <c r="F12" s="1">
        <v>0</v>
      </c>
      <c r="G12" s="1">
        <v>5</v>
      </c>
      <c r="H12" s="1">
        <f t="shared" si="2"/>
        <v>0</v>
      </c>
      <c r="I12" s="1">
        <f t="shared" si="3"/>
        <v>657.79999999999995</v>
      </c>
    </row>
    <row r="13" ht="12.800000000000001">
      <c r="A13" s="3">
        <v>1114172</v>
      </c>
      <c r="B13" s="1" t="s">
        <v>40</v>
      </c>
      <c r="C13" s="1">
        <v>1</v>
      </c>
      <c r="D13" s="1" t="s">
        <v>41</v>
      </c>
      <c r="E13" s="1" t="s">
        <v>36</v>
      </c>
      <c r="F13" s="1">
        <v>0</v>
      </c>
      <c r="G13" s="1">
        <v>5</v>
      </c>
      <c r="H13" s="1">
        <f t="shared" si="2"/>
        <v>0</v>
      </c>
      <c r="I13" s="1">
        <f t="shared" si="3"/>
        <v>657.79999999999995</v>
      </c>
    </row>
    <row r="14" ht="12.800000000000001">
      <c r="A14" s="3">
        <v>1114172</v>
      </c>
      <c r="B14" s="1" t="s">
        <v>42</v>
      </c>
      <c r="C14" s="1">
        <v>2</v>
      </c>
      <c r="D14" s="1" t="s">
        <v>43</v>
      </c>
      <c r="E14" s="1" t="s">
        <v>44</v>
      </c>
      <c r="F14" s="1">
        <v>0</v>
      </c>
      <c r="G14" s="1">
        <v>5</v>
      </c>
      <c r="H14" s="1">
        <f t="shared" si="2"/>
        <v>0</v>
      </c>
      <c r="I14" s="1">
        <f t="shared" si="3"/>
        <v>657.79999999999995</v>
      </c>
    </row>
    <row r="15" ht="12.800000000000001">
      <c r="A15" s="3">
        <v>1114172</v>
      </c>
      <c r="B15" s="1" t="s">
        <v>45</v>
      </c>
      <c r="C15" s="1">
        <v>1</v>
      </c>
      <c r="D15" s="1" t="s">
        <v>46</v>
      </c>
      <c r="E15" s="1" t="s">
        <v>47</v>
      </c>
      <c r="F15" s="1">
        <v>0</v>
      </c>
      <c r="G15" s="1">
        <v>5</v>
      </c>
      <c r="H15" s="1">
        <f t="shared" si="2"/>
        <v>0</v>
      </c>
      <c r="I15" s="1">
        <f t="shared" si="3"/>
        <v>657.79999999999995</v>
      </c>
    </row>
    <row r="16" ht="12.800000000000001">
      <c r="A16" s="3">
        <v>1114172</v>
      </c>
      <c r="B16" s="1" t="s">
        <v>48</v>
      </c>
      <c r="C16" s="1">
        <v>1</v>
      </c>
      <c r="D16" s="1" t="s">
        <v>49</v>
      </c>
      <c r="E16" s="1" t="s">
        <v>36</v>
      </c>
      <c r="F16" s="1">
        <v>0</v>
      </c>
      <c r="G16" s="1">
        <v>5</v>
      </c>
      <c r="H16" s="1">
        <f t="shared" si="2"/>
        <v>0</v>
      </c>
      <c r="I16" s="1">
        <f t="shared" si="3"/>
        <v>657.79999999999995</v>
      </c>
    </row>
    <row r="17" ht="12.800000000000001">
      <c r="A17" s="3" t="s">
        <v>50</v>
      </c>
      <c r="B17" s="1" t="s">
        <v>51</v>
      </c>
      <c r="C17" s="1">
        <v>1</v>
      </c>
      <c r="D17" s="1" t="s">
        <v>52</v>
      </c>
      <c r="E17" s="1" t="s">
        <v>53</v>
      </c>
      <c r="F17" s="1">
        <v>100</v>
      </c>
      <c r="G17" s="1">
        <v>0.16</v>
      </c>
      <c r="H17" s="1">
        <f t="shared" si="2"/>
        <v>16</v>
      </c>
      <c r="I17" s="1">
        <f t="shared" si="3"/>
        <v>673.79999999999995</v>
      </c>
    </row>
    <row r="18" ht="12.800000000000001">
      <c r="A18" s="3" t="s">
        <v>54</v>
      </c>
      <c r="B18" s="1" t="s">
        <v>55</v>
      </c>
      <c r="C18" s="1">
        <v>3</v>
      </c>
      <c r="D18" s="1" t="s">
        <v>56</v>
      </c>
      <c r="E18" s="1" t="s">
        <v>53</v>
      </c>
      <c r="F18" s="1">
        <v>100</v>
      </c>
      <c r="G18" s="1">
        <v>0.28000000000000003</v>
      </c>
      <c r="H18" s="1">
        <f t="shared" si="2"/>
        <v>28</v>
      </c>
      <c r="I18" s="1">
        <f t="shared" si="3"/>
        <v>701.79999999999995</v>
      </c>
    </row>
    <row r="19" ht="12.800000000000001">
      <c r="A19" s="3" t="s">
        <v>57</v>
      </c>
      <c r="B19" s="1" t="s">
        <v>58</v>
      </c>
      <c r="C19" s="1">
        <v>2</v>
      </c>
      <c r="D19" s="1" t="s">
        <v>59</v>
      </c>
      <c r="E19" s="1" t="s">
        <v>53</v>
      </c>
      <c r="F19" s="1">
        <v>50</v>
      </c>
      <c r="G19" s="1">
        <v>0.68000000000000005</v>
      </c>
      <c r="H19" s="1">
        <f t="shared" si="2"/>
        <v>34</v>
      </c>
      <c r="I19" s="1">
        <f t="shared" si="3"/>
        <v>735.79999999999995</v>
      </c>
    </row>
    <row r="20" ht="12.800000000000001">
      <c r="A20" s="3">
        <v>1883759</v>
      </c>
      <c r="B20" s="1" t="s">
        <v>60</v>
      </c>
      <c r="C20" s="1">
        <v>1</v>
      </c>
      <c r="D20" s="1" t="s">
        <v>61</v>
      </c>
      <c r="E20" s="1" t="s">
        <v>62</v>
      </c>
      <c r="F20" s="5">
        <v>10</v>
      </c>
      <c r="G20" s="1">
        <v>1.55</v>
      </c>
      <c r="H20" s="1">
        <f t="shared" si="2"/>
        <v>15.5</v>
      </c>
      <c r="I20" s="1">
        <f t="shared" si="3"/>
        <v>751.29999999999995</v>
      </c>
    </row>
    <row r="21" ht="12.800000000000001">
      <c r="A21" s="3" t="s">
        <v>63</v>
      </c>
      <c r="B21" s="1" t="s">
        <v>64</v>
      </c>
      <c r="C21" s="1">
        <v>1</v>
      </c>
      <c r="D21" s="1" t="s">
        <v>65</v>
      </c>
      <c r="E21" s="1" t="s">
        <v>66</v>
      </c>
      <c r="F21" s="1">
        <v>2</v>
      </c>
      <c r="G21" s="1">
        <v>794</v>
      </c>
      <c r="H21" s="1">
        <f t="shared" si="2"/>
        <v>1588</v>
      </c>
      <c r="I21" s="1">
        <f t="shared" si="3"/>
        <v>2339.3000000000002</v>
      </c>
    </row>
    <row r="22" ht="12.800000000000001">
      <c r="A22" s="3" t="s">
        <v>67</v>
      </c>
      <c r="B22" s="1" t="s">
        <v>68</v>
      </c>
      <c r="C22" s="1">
        <v>1</v>
      </c>
      <c r="D22" s="1" t="s">
        <v>69</v>
      </c>
      <c r="E22" s="1" t="s">
        <v>70</v>
      </c>
      <c r="F22" s="1">
        <v>10</v>
      </c>
      <c r="G22" s="1">
        <v>7</v>
      </c>
      <c r="H22" s="1">
        <f t="shared" si="2"/>
        <v>70</v>
      </c>
      <c r="I22" s="1">
        <f t="shared" si="3"/>
        <v>2409.3000000000002</v>
      </c>
    </row>
    <row r="23" ht="12.800000000000001">
      <c r="A23" s="3" t="s">
        <v>71</v>
      </c>
      <c r="B23" s="1" t="s">
        <v>72</v>
      </c>
      <c r="C23" s="1">
        <v>1</v>
      </c>
      <c r="D23" s="1" t="s">
        <v>73</v>
      </c>
      <c r="E23" s="1" t="s">
        <v>74</v>
      </c>
      <c r="F23" s="1">
        <v>10</v>
      </c>
      <c r="G23" s="1">
        <v>6</v>
      </c>
      <c r="H23" s="1">
        <f t="shared" si="2"/>
        <v>60</v>
      </c>
      <c r="I23" s="1">
        <f t="shared" si="3"/>
        <v>2469.3000000000002</v>
      </c>
    </row>
    <row r="24" ht="12.800000000000001">
      <c r="A24" s="3" t="s">
        <v>75</v>
      </c>
      <c r="B24" s="1" t="s">
        <v>76</v>
      </c>
      <c r="C24" s="1">
        <v>1</v>
      </c>
      <c r="D24" s="1" t="s">
        <v>77</v>
      </c>
      <c r="E24" s="1" t="s">
        <v>78</v>
      </c>
      <c r="F24" s="1">
        <v>10</v>
      </c>
      <c r="G24" s="1">
        <v>10</v>
      </c>
      <c r="H24" s="1">
        <f t="shared" si="2"/>
        <v>100</v>
      </c>
      <c r="I24" s="1">
        <f t="shared" si="3"/>
        <v>2569.3000000000002</v>
      </c>
    </row>
    <row r="25" ht="12.800000000000001">
      <c r="G25" s="2" t="s">
        <v>79</v>
      </c>
      <c r="H25" s="2">
        <f>SUM(H2:H24)</f>
        <v>2569.3000000000002</v>
      </c>
    </row>
    <row r="26" ht="12.800000000000001">
      <c r="G26" s="2" t="s">
        <v>80</v>
      </c>
      <c r="H26" s="2">
        <v>981</v>
      </c>
    </row>
    <row r="27" ht="12.800000000000001">
      <c r="G27" s="2" t="s">
        <v>81</v>
      </c>
      <c r="H27" s="2">
        <f>SUM(H25:H26)</f>
        <v>3550.3000000000002</v>
      </c>
    </row>
  </sheetData>
  <printOptions headings="0" gridLines="0" horizontalCentered="0" verticalCentered="0"/>
  <pageMargins left="0.78750000000000009" right="0.78750000000000009" top="1.05277777777778" bottom="1.05277777777778" header="0.78750000000000009" footer="0.78750000000000009"/>
  <pageSetup paperSize="9" scale="100" firstPageNumber="1" fitToWidth="1" fitToHeight="1" pageOrder="downThenOver" orientation="portrait" usePrinterDefaults="1" blackAndWhite="0" draft="0" cellComments="none" useFirstPageNumber="1" errors="displayed" horizontalDpi="300" verticalDpi="300" copies="1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ONLYOFFICE/9.3.1.8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dc:language>en-US</dc:language>
  <cp:revision>13</cp:revision>
  <dcterms:modified xsi:type="dcterms:W3CDTF">2026-04-28T13:42:26Z</dcterms:modified>
</cp:coreProperties>
</file>